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bf7af253dceeaa/Documents/COLLEGIATE TUTORS/Software Stuff/lexy_python_backend/"/>
    </mc:Choice>
  </mc:AlternateContent>
  <xr:revisionPtr revIDLastSave="13" documentId="13_ncr:1_{783B2747-1D55-CF4E-9114-125F309EF31E}" xr6:coauthVersionLast="47" xr6:coauthVersionMax="47" xr10:uidLastSave="{CD8AF98E-6CF1-43F6-846B-D76CEAE8E99B}"/>
  <bookViews>
    <workbookView xWindow="-108" yWindow="-108" windowWidth="23256" windowHeight="12576" activeTab="1" xr2:uid="{95B8F3EA-A727-42F6-AC61-4471B942DD5E}"/>
  </bookViews>
  <sheets>
    <sheet name="Sheet1" sheetId="1" r:id="rId1"/>
    <sheet name="Contacts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6" i="1"/>
  <c r="H27" i="1"/>
  <c r="H28" i="1"/>
  <c r="H3" i="1"/>
  <c r="F28" i="2"/>
  <c r="J3" i="1" l="1" a="1"/>
  <c r="J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<sst xmlns="http://schemas.openxmlformats.org/spreadsheetml/2006/main" count="586" uniqueCount="165">
  <si>
    <t>Justyna</t>
  </si>
  <si>
    <t>algebra (pre-, I, II, college)</t>
  </si>
  <si>
    <t>geometry</t>
  </si>
  <si>
    <t>statistics (I)</t>
  </si>
  <si>
    <t>calculus (I, II, III)</t>
  </si>
  <si>
    <t>Differential Equations</t>
  </si>
  <si>
    <t>Linear Algebra</t>
  </si>
  <si>
    <t>linear regression</t>
  </si>
  <si>
    <t>probability theory</t>
  </si>
  <si>
    <t>game theory</t>
  </si>
  <si>
    <t>trigonometry</t>
  </si>
  <si>
    <t>Course</t>
  </si>
  <si>
    <t>Tutor</t>
  </si>
  <si>
    <t>elementary math</t>
  </si>
  <si>
    <t>Kaytlyn</t>
  </si>
  <si>
    <t>Melissa</t>
  </si>
  <si>
    <t>Sam</t>
  </si>
  <si>
    <t>William</t>
  </si>
  <si>
    <t>Christian</t>
  </si>
  <si>
    <t>Chemistry (I, II)</t>
  </si>
  <si>
    <t>Phys (I)</t>
  </si>
  <si>
    <t>MA266</t>
  </si>
  <si>
    <t>MA265*</t>
  </si>
  <si>
    <t>Kirstin</t>
  </si>
  <si>
    <t>middle school</t>
  </si>
  <si>
    <t>high school</t>
  </si>
  <si>
    <t>purdue</t>
  </si>
  <si>
    <t>ohio?</t>
  </si>
  <si>
    <t>MA265</t>
  </si>
  <si>
    <t>georgia?</t>
  </si>
  <si>
    <t>MA262, MA266</t>
  </si>
  <si>
    <t>Courses offered</t>
  </si>
  <si>
    <t>calculus I</t>
  </si>
  <si>
    <t>calculus II</t>
  </si>
  <si>
    <t>calculus III</t>
  </si>
  <si>
    <t>calculus pre-</t>
  </si>
  <si>
    <t>Physics I</t>
  </si>
  <si>
    <t>Physics II</t>
  </si>
  <si>
    <t>Chemistry I</t>
  </si>
  <si>
    <t>Chemistry II</t>
  </si>
  <si>
    <t>Biology</t>
  </si>
  <si>
    <t>MA261</t>
  </si>
  <si>
    <t>Carl</t>
  </si>
  <si>
    <t>Alex</t>
  </si>
  <si>
    <t>astrophysics</t>
  </si>
  <si>
    <t>astronomy</t>
  </si>
  <si>
    <t>Calculus pre-</t>
  </si>
  <si>
    <t>Mechanics I</t>
  </si>
  <si>
    <t>Thermodynamics</t>
  </si>
  <si>
    <t>   trigonometry</t>
  </si>
  <si>
    <t>Elisabeth</t>
  </si>
  <si>
    <t>Location</t>
  </si>
  <si>
    <t>Sashank</t>
  </si>
  <si>
    <t>Mechanics I - Statics</t>
  </si>
  <si>
    <t>Mechanics II - Dynamics</t>
  </si>
  <si>
    <t>ME - Statics</t>
  </si>
  <si>
    <t>ME - Dynamics</t>
  </si>
  <si>
    <t>Stefan</t>
  </si>
  <si>
    <t>Yale</t>
  </si>
  <si>
    <t>NEED</t>
  </si>
  <si>
    <t>Sebastian</t>
  </si>
  <si>
    <t>Electrical Circuits (Engr)</t>
  </si>
  <si>
    <t>Name</t>
  </si>
  <si>
    <t>School</t>
  </si>
  <si>
    <t>Brian Hixson-Simeral</t>
  </si>
  <si>
    <t>Westfield, IN</t>
  </si>
  <si>
    <t>Cornell</t>
  </si>
  <si>
    <t>Level</t>
  </si>
  <si>
    <t>Reviews</t>
  </si>
  <si>
    <t>Notes</t>
  </si>
  <si>
    <t>Justyna Sokolik</t>
  </si>
  <si>
    <t>Penn State, ??</t>
  </si>
  <si>
    <t>Gaps</t>
  </si>
  <si>
    <t>N/A</t>
  </si>
  <si>
    <t>Melissa Jones</t>
  </si>
  <si>
    <t>Total XP (sem)</t>
  </si>
  <si>
    <t>CT XP (sem)</t>
  </si>
  <si>
    <t>Yale Han</t>
  </si>
  <si>
    <t>Sam Doshna</t>
  </si>
  <si>
    <t>End Date</t>
  </si>
  <si>
    <t>Purdue</t>
  </si>
  <si>
    <t>Sean Sunshine</t>
  </si>
  <si>
    <t>Samford</t>
  </si>
  <si>
    <t>Lucas Ackerman</t>
  </si>
  <si>
    <t>Alex Blanche</t>
  </si>
  <si>
    <t>ASU</t>
  </si>
  <si>
    <t>Univerity of Columbia</t>
  </si>
  <si>
    <t>Carl Libis</t>
  </si>
  <si>
    <t>Christian Ibrahim</t>
  </si>
  <si>
    <t>Elisabeth Casetti</t>
  </si>
  <si>
    <t>Kaytlyn McBride</t>
  </si>
  <si>
    <t>Ohio State</t>
  </si>
  <si>
    <t>Kirsten Harrough</t>
  </si>
  <si>
    <t>University of Kentucky? IN?</t>
  </si>
  <si>
    <t>Opeyemi</t>
  </si>
  <si>
    <t>Sashank Penmatsa</t>
  </si>
  <si>
    <t>William Woo</t>
  </si>
  <si>
    <t>Ayden Hochstein</t>
  </si>
  <si>
    <t>North Carolina</t>
  </si>
  <si>
    <t>NC State</t>
  </si>
  <si>
    <t>Sebastian Gomez</t>
  </si>
  <si>
    <t>Stefan Kummerfeld</t>
  </si>
  <si>
    <t>2 sem?</t>
  </si>
  <si>
    <t>Offer Date</t>
  </si>
  <si>
    <t>Kwadwo Adu Twum</t>
  </si>
  <si>
    <t>Monique Roman</t>
  </si>
  <si>
    <t>Georgia</t>
  </si>
  <si>
    <t>India</t>
  </si>
  <si>
    <t>5/5/2022?</t>
  </si>
  <si>
    <t>West Lafayette, IN</t>
  </si>
  <si>
    <t>Birmingham, AL</t>
  </si>
  <si>
    <t>Happy Valley, ??</t>
  </si>
  <si>
    <t>San Diego, CA</t>
  </si>
  <si>
    <t>-</t>
  </si>
  <si>
    <t>8/28/23-8/8/24</t>
  </si>
  <si>
    <t>E, I</t>
  </si>
  <si>
    <t>E</t>
  </si>
  <si>
    <t>I</t>
  </si>
  <si>
    <t>X</t>
  </si>
  <si>
    <t>I, X</t>
  </si>
  <si>
    <t>I?</t>
  </si>
  <si>
    <t>E?</t>
  </si>
  <si>
    <t>West Lafayette, IN, Jackson, TX</t>
  </si>
  <si>
    <t>6 sem?</t>
  </si>
  <si>
    <t>no re-hire, 4 sem?</t>
  </si>
  <si>
    <t>ME/SW, 2 sem?</t>
  </si>
  <si>
    <t>Joseph Brinkley</t>
  </si>
  <si>
    <t>4 sem?</t>
  </si>
  <si>
    <t>Brian</t>
  </si>
  <si>
    <t>calculus (pre-, I, II, III)</t>
  </si>
  <si>
    <t>Stats I*</t>
  </si>
  <si>
    <t>Chemistry II*</t>
  </si>
  <si>
    <t>Computer science/programming</t>
  </si>
  <si>
    <t>CS 251</t>
  </si>
  <si>
    <t>CS</t>
  </si>
  <si>
    <t>Ope</t>
  </si>
  <si>
    <t>Tutor Course List (Active)</t>
  </si>
  <si>
    <t>Retired/Paused</t>
  </si>
  <si>
    <t>Carmel, now CO</t>
  </si>
  <si>
    <t>CA</t>
  </si>
  <si>
    <t>GA?</t>
  </si>
  <si>
    <t>Penn State, now GA</t>
  </si>
  <si>
    <t>U of Louisville and nearby school</t>
  </si>
  <si>
    <t>KirstenH</t>
  </si>
  <si>
    <t>Justynas</t>
  </si>
  <si>
    <t>brian</t>
  </si>
  <si>
    <t>stefank</t>
  </si>
  <si>
    <t>yaleh</t>
  </si>
  <si>
    <t>sebastiang</t>
  </si>
  <si>
    <t>opeo</t>
  </si>
  <si>
    <t>current tutors</t>
  </si>
  <si>
    <t>email (+ .collegiatetutorsllc@gmail.com)</t>
  </si>
  <si>
    <t>gbits</t>
  </si>
  <si>
    <t>gbyts3@gmail.com</t>
  </si>
  <si>
    <t>appTest</t>
  </si>
  <si>
    <t>5bef8af987415637be033d51399179faa329df2ea1cd06ea887f48f028b1998a@group.calendar.google.com</t>
  </si>
  <si>
    <t>Lexy</t>
  </si>
  <si>
    <t>lexy.g.ackerman@gmail.com</t>
  </si>
  <si>
    <t>OpeO.collegiatetutorsllc@gmail.com</t>
  </si>
  <si>
    <t>SebastianG.collegiatetutorsllc@gmail.com</t>
  </si>
  <si>
    <t>YaleH.collegiatetutorsllc@gmail.com</t>
  </si>
  <si>
    <t>StefanK.collegiatetutorsllc@gmail.com</t>
  </si>
  <si>
    <t>Brian.collegiatetutorsllc@gmail.com</t>
  </si>
  <si>
    <t>JustynaS.collegiatetutorsllc@gmail.com</t>
  </si>
  <si>
    <t>KirstenH.collegiatetutorsllc@gmail.com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</si>
</sst>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500050"/>
      <name val="Arial"/>
      <family val="2"/>
    </font>
    <font>
      <sz val="11"/>
      <color rgb="FF9900FF"/>
      <name val="Calibri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 vertical="center" inden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2" fillId="0" borderId="0" xfId="0" applyFont="1"/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0" fillId="9" borderId="0" xfId="0" applyFill="1"/>
    <xf numFmtId="0" fontId="6" fillId="10" borderId="0" xfId="0" applyFont="1" applyFill="1" applyAlignment="1">
      <alignment wrapText="1"/>
    </xf>
    <xf numFmtId="0" fontId="6" fillId="10" borderId="0" xfId="0" applyFont="1" applyFill="1" applyAlignment="1">
      <alignment horizontal="left" vertical="center" wrapText="1" indent="1"/>
    </xf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4" fontId="0" fillId="0" borderId="0" xfId="0" applyNumberFormat="1"/>
    <xf numFmtId="0" fontId="7" fillId="0" borderId="0" xfId="0" applyFont="1"/>
    <xf numFmtId="17" fontId="0" fillId="0" borderId="0" xfId="0" applyNumberFormat="1"/>
    <xf numFmtId="0" fontId="8" fillId="0" borderId="0" xfId="0" applyFont="1" applyAlignment="1">
      <alignment vertical="center" wrapText="1"/>
    </xf>
    <xf numFmtId="0" fontId="1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4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colors>
    <mruColors>
      <color rgb="FFCC66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xy.g.ackerman@gmail.com" TargetMode="External"/><Relationship Id="rId1" Type="http://schemas.openxmlformats.org/officeDocument/2006/relationships/hyperlink" Target="mailto:gbyts3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byts3@gmail.com" TargetMode="External"/><Relationship Id="rId3" Type="http://schemas.openxmlformats.org/officeDocument/2006/relationships/hyperlink" Target="mailto:Brian.collegiatetutorsllc@gmail.com" TargetMode="External"/><Relationship Id="rId7" Type="http://schemas.openxmlformats.org/officeDocument/2006/relationships/hyperlink" Target="mailto:OpeO.collegiatetutorsllc@gmail.com" TargetMode="External"/><Relationship Id="rId2" Type="http://schemas.openxmlformats.org/officeDocument/2006/relationships/hyperlink" Target="mailto:JustynaS.collegiatetutorsllc@gmail.com" TargetMode="External"/><Relationship Id="rId1" Type="http://schemas.openxmlformats.org/officeDocument/2006/relationships/hyperlink" Target="mailto:KirstenH.collegiatetutorsllc@gmail.com" TargetMode="External"/><Relationship Id="rId6" Type="http://schemas.openxmlformats.org/officeDocument/2006/relationships/hyperlink" Target="mailto:SebastianG.collegiatetutorsllc@gmail.com" TargetMode="External"/><Relationship Id="rId5" Type="http://schemas.openxmlformats.org/officeDocument/2006/relationships/hyperlink" Target="mailto:YaleH.collegiatetutorsllc@gmail.com" TargetMode="External"/><Relationship Id="rId4" Type="http://schemas.openxmlformats.org/officeDocument/2006/relationships/hyperlink" Target="mailto:StefanK.collegiatetutorsllc@gmail.com" TargetMode="External"/><Relationship Id="rId9" Type="http://schemas.openxmlformats.org/officeDocument/2006/relationships/hyperlink" Target="mailto:lexy.g.ackerman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DABC-9B46-42E5-90C2-5264AE7A62C3}">
  <dimension ref="A1:R104"/>
  <sheetViews>
    <sheetView workbookViewId="0">
      <selection activeCell="L9" sqref="L9:M11"/>
    </sheetView>
  </sheetViews>
  <sheetFormatPr defaultColWidth="8.77734375" defaultRowHeight="14.4" x14ac:dyDescent="0.3"/>
  <cols>
    <col min="2" max="2" width="23.109375" customWidth="1"/>
    <col min="6" max="6" width="8.44140625" customWidth="1"/>
    <col min="7" max="7" width="23.6640625" bestFit="1" customWidth="1"/>
    <col min="8" max="8" width="8.77734375" customWidth="1"/>
    <col min="9" max="9" width="9.44140625" customWidth="1"/>
    <col min="12" max="12" width="14.33203125" customWidth="1"/>
    <col min="13" max="13" width="31.33203125" customWidth="1"/>
  </cols>
  <sheetData>
    <row r="1" spans="1:18" x14ac:dyDescent="0.3">
      <c r="A1" t="s">
        <v>136</v>
      </c>
      <c r="L1" t="s">
        <v>150</v>
      </c>
      <c r="M1" t="s">
        <v>151</v>
      </c>
      <c r="O1" t="s">
        <v>137</v>
      </c>
    </row>
    <row r="2" spans="1:18" x14ac:dyDescent="0.3">
      <c r="A2" t="s">
        <v>12</v>
      </c>
      <c r="B2" t="s">
        <v>11</v>
      </c>
      <c r="C2" t="s">
        <v>51</v>
      </c>
      <c r="G2" s="12" t="s">
        <v>31</v>
      </c>
      <c r="J2" t="s">
        <v>59</v>
      </c>
      <c r="L2" s="8" t="s">
        <v>23</v>
      </c>
      <c r="M2" t="s">
        <v>143</v>
      </c>
      <c r="O2" s="5" t="s">
        <v>18</v>
      </c>
      <c r="P2" s="1" t="s">
        <v>13</v>
      </c>
    </row>
    <row r="3" spans="1:18" x14ac:dyDescent="0.3">
      <c r="A3" s="8" t="s">
        <v>23</v>
      </c>
      <c r="B3" s="1" t="s">
        <v>24</v>
      </c>
      <c r="C3" t="s">
        <v>142</v>
      </c>
      <c r="G3" t="s">
        <v>13</v>
      </c>
      <c r="H3">
        <f t="shared" ref="H3:H28" si="0">COUNTIF(B$3:B$119,G3)</f>
        <v>6</v>
      </c>
      <c r="J3" t="e" cm="1">
        <f t="array" ref="J3">_xlfn._xlws.FILTER(G3:G28,H3:H27&lt;3)</f>
        <v>#VALUE!</v>
      </c>
      <c r="L3" s="2" t="s">
        <v>0</v>
      </c>
      <c r="M3" t="s">
        <v>144</v>
      </c>
      <c r="O3" s="5" t="s">
        <v>18</v>
      </c>
      <c r="P3" s="1" t="s">
        <v>1</v>
      </c>
    </row>
    <row r="4" spans="1:18" x14ac:dyDescent="0.3">
      <c r="A4" s="8" t="s">
        <v>23</v>
      </c>
      <c r="B4" s="1" t="s">
        <v>25</v>
      </c>
      <c r="G4" s="1" t="s">
        <v>1</v>
      </c>
      <c r="H4">
        <f t="shared" si="0"/>
        <v>9</v>
      </c>
      <c r="L4" s="15" t="s">
        <v>128</v>
      </c>
      <c r="M4" t="s">
        <v>145</v>
      </c>
      <c r="O4" s="5" t="s">
        <v>18</v>
      </c>
      <c r="P4" s="1" t="s">
        <v>2</v>
      </c>
      <c r="R4" t="s">
        <v>26</v>
      </c>
    </row>
    <row r="5" spans="1:18" x14ac:dyDescent="0.3">
      <c r="A5" s="8" t="s">
        <v>23</v>
      </c>
      <c r="B5" s="1" t="s">
        <v>1</v>
      </c>
      <c r="F5" s="1"/>
      <c r="G5" s="1" t="s">
        <v>2</v>
      </c>
      <c r="H5">
        <f t="shared" si="0"/>
        <v>9</v>
      </c>
      <c r="L5" s="19" t="s">
        <v>57</v>
      </c>
      <c r="M5" t="s">
        <v>146</v>
      </c>
      <c r="O5" s="5" t="s">
        <v>18</v>
      </c>
      <c r="P5" s="1" t="s">
        <v>4</v>
      </c>
    </row>
    <row r="6" spans="1:18" x14ac:dyDescent="0.3">
      <c r="A6" s="8" t="s">
        <v>23</v>
      </c>
      <c r="B6" s="1" t="s">
        <v>35</v>
      </c>
      <c r="G6" t="s">
        <v>10</v>
      </c>
      <c r="H6">
        <f t="shared" si="0"/>
        <v>8</v>
      </c>
      <c r="L6" s="20" t="s">
        <v>58</v>
      </c>
      <c r="M6" t="s">
        <v>147</v>
      </c>
      <c r="O6" s="5" t="s">
        <v>18</v>
      </c>
      <c r="P6" s="1" t="s">
        <v>5</v>
      </c>
      <c r="Q6" t="s">
        <v>21</v>
      </c>
    </row>
    <row r="7" spans="1:18" x14ac:dyDescent="0.3">
      <c r="A7" s="8" t="s">
        <v>23</v>
      </c>
      <c r="B7" s="1" t="s">
        <v>32</v>
      </c>
      <c r="G7" s="1" t="s">
        <v>3</v>
      </c>
      <c r="H7">
        <f t="shared" si="0"/>
        <v>6</v>
      </c>
      <c r="L7" s="21" t="s">
        <v>60</v>
      </c>
      <c r="M7" t="s">
        <v>148</v>
      </c>
      <c r="O7" s="5" t="s">
        <v>18</v>
      </c>
      <c r="P7" s="1" t="s">
        <v>19</v>
      </c>
    </row>
    <row r="8" spans="1:18" x14ac:dyDescent="0.3">
      <c r="A8" s="8" t="s">
        <v>23</v>
      </c>
      <c r="B8" s="1" t="s">
        <v>33</v>
      </c>
      <c r="G8" s="1" t="s">
        <v>35</v>
      </c>
      <c r="H8">
        <f t="shared" si="0"/>
        <v>7</v>
      </c>
      <c r="L8" s="21" t="s">
        <v>135</v>
      </c>
      <c r="M8" t="s">
        <v>149</v>
      </c>
      <c r="O8" s="5" t="s">
        <v>18</v>
      </c>
      <c r="P8" s="1" t="s">
        <v>20</v>
      </c>
    </row>
    <row r="9" spans="1:18" x14ac:dyDescent="0.3">
      <c r="A9" s="2" t="s">
        <v>0</v>
      </c>
      <c r="B9" s="1" t="s">
        <v>1</v>
      </c>
      <c r="C9" t="s">
        <v>141</v>
      </c>
      <c r="G9" s="1" t="s">
        <v>32</v>
      </c>
      <c r="H9">
        <f t="shared" si="0"/>
        <v>7</v>
      </c>
      <c r="L9" t="s">
        <v>152</v>
      </c>
      <c r="M9" s="9" t="s">
        <v>153</v>
      </c>
    </row>
    <row r="10" spans="1:18" x14ac:dyDescent="0.3">
      <c r="A10" s="2" t="s">
        <v>0</v>
      </c>
      <c r="B10" s="1" t="s">
        <v>2</v>
      </c>
      <c r="G10" s="1" t="s">
        <v>33</v>
      </c>
      <c r="H10">
        <f t="shared" si="0"/>
        <v>6</v>
      </c>
      <c r="L10" t="s">
        <v>154</v>
      </c>
      <c r="M10" t="s">
        <v>155</v>
      </c>
    </row>
    <row r="11" spans="1:18" x14ac:dyDescent="0.3">
      <c r="A11" s="2" t="s">
        <v>0</v>
      </c>
      <c r="B11" t="s">
        <v>10</v>
      </c>
      <c r="G11" s="1" t="s">
        <v>34</v>
      </c>
      <c r="H11">
        <f t="shared" si="0"/>
        <v>5</v>
      </c>
      <c r="L11" t="s">
        <v>156</v>
      </c>
      <c r="M11" s="9" t="s">
        <v>157</v>
      </c>
    </row>
    <row r="12" spans="1:18" x14ac:dyDescent="0.3">
      <c r="A12" s="2" t="s">
        <v>0</v>
      </c>
      <c r="B12" s="1" t="s">
        <v>3</v>
      </c>
      <c r="G12" s="1" t="s">
        <v>5</v>
      </c>
      <c r="H12">
        <f t="shared" si="0"/>
        <v>4</v>
      </c>
    </row>
    <row r="13" spans="1:18" x14ac:dyDescent="0.3">
      <c r="A13" s="2" t="s">
        <v>0</v>
      </c>
      <c r="B13" s="1" t="s">
        <v>32</v>
      </c>
      <c r="G13" s="1" t="s">
        <v>6</v>
      </c>
      <c r="H13">
        <f t="shared" si="0"/>
        <v>6</v>
      </c>
      <c r="R13" t="s">
        <v>29</v>
      </c>
    </row>
    <row r="14" spans="1:18" x14ac:dyDescent="0.3">
      <c r="A14" s="2" t="s">
        <v>0</v>
      </c>
      <c r="B14" s="1" t="s">
        <v>33</v>
      </c>
      <c r="G14" s="1" t="s">
        <v>7</v>
      </c>
      <c r="H14">
        <f t="shared" si="0"/>
        <v>2</v>
      </c>
    </row>
    <row r="15" spans="1:18" x14ac:dyDescent="0.3">
      <c r="A15" s="2" t="s">
        <v>0</v>
      </c>
      <c r="B15" s="1" t="s">
        <v>34</v>
      </c>
      <c r="G15" s="1" t="s">
        <v>8</v>
      </c>
      <c r="H15">
        <f t="shared" si="0"/>
        <v>2</v>
      </c>
    </row>
    <row r="16" spans="1:18" x14ac:dyDescent="0.3">
      <c r="A16" s="2" t="s">
        <v>0</v>
      </c>
      <c r="B16" s="1" t="s">
        <v>5</v>
      </c>
      <c r="G16" s="1" t="s">
        <v>45</v>
      </c>
      <c r="H16">
        <f t="shared" si="0"/>
        <v>1</v>
      </c>
      <c r="Q16" t="s">
        <v>41</v>
      </c>
    </row>
    <row r="17" spans="1:18" x14ac:dyDescent="0.3">
      <c r="A17" s="2" t="s">
        <v>0</v>
      </c>
      <c r="B17" s="1" t="s">
        <v>6</v>
      </c>
      <c r="G17" s="1" t="s">
        <v>44</v>
      </c>
      <c r="H17">
        <f t="shared" si="0"/>
        <v>1</v>
      </c>
      <c r="Q17" t="s">
        <v>30</v>
      </c>
    </row>
    <row r="18" spans="1:18" x14ac:dyDescent="0.3">
      <c r="A18" s="2" t="s">
        <v>0</v>
      </c>
      <c r="B18" s="1" t="s">
        <v>7</v>
      </c>
      <c r="G18" s="1" t="s">
        <v>40</v>
      </c>
      <c r="H18">
        <f t="shared" si="0"/>
        <v>1</v>
      </c>
      <c r="Q18" t="s">
        <v>28</v>
      </c>
    </row>
    <row r="19" spans="1:18" x14ac:dyDescent="0.3">
      <c r="A19" s="2" t="s">
        <v>0</v>
      </c>
      <c r="B19" s="1" t="s">
        <v>8</v>
      </c>
      <c r="G19" s="1" t="s">
        <v>38</v>
      </c>
      <c r="H19">
        <f t="shared" si="0"/>
        <v>4</v>
      </c>
      <c r="J19" s="9"/>
    </row>
    <row r="20" spans="1:18" ht="15" x14ac:dyDescent="0.3">
      <c r="A20" s="2" t="s">
        <v>0</v>
      </c>
      <c r="B20" s="1" t="s">
        <v>9</v>
      </c>
      <c r="G20" s="1" t="s">
        <v>39</v>
      </c>
      <c r="H20">
        <f t="shared" si="0"/>
        <v>1</v>
      </c>
      <c r="O20" s="15" t="s">
        <v>128</v>
      </c>
      <c r="P20" s="25" t="s">
        <v>130</v>
      </c>
    </row>
    <row r="21" spans="1:18" ht="30" x14ac:dyDescent="0.3">
      <c r="A21" s="15" t="s">
        <v>128</v>
      </c>
      <c r="B21" s="25" t="s">
        <v>13</v>
      </c>
      <c r="C21" t="s">
        <v>138</v>
      </c>
      <c r="G21" s="1" t="s">
        <v>134</v>
      </c>
      <c r="H21">
        <f t="shared" si="0"/>
        <v>1</v>
      </c>
      <c r="O21" s="15" t="s">
        <v>128</v>
      </c>
      <c r="P21" s="25" t="s">
        <v>131</v>
      </c>
    </row>
    <row r="22" spans="1:18" ht="30" x14ac:dyDescent="0.3">
      <c r="A22" s="15" t="s">
        <v>128</v>
      </c>
      <c r="B22" s="25" t="s">
        <v>1</v>
      </c>
      <c r="G22" s="1" t="s">
        <v>61</v>
      </c>
      <c r="H22">
        <f t="shared" si="0"/>
        <v>0</v>
      </c>
    </row>
    <row r="23" spans="1:18" ht="15" x14ac:dyDescent="0.3">
      <c r="A23" s="15" t="s">
        <v>128</v>
      </c>
      <c r="B23" s="25" t="s">
        <v>2</v>
      </c>
      <c r="G23" s="1" t="s">
        <v>9</v>
      </c>
      <c r="H23">
        <f t="shared" si="0"/>
        <v>1</v>
      </c>
      <c r="O23" s="3" t="s">
        <v>14</v>
      </c>
      <c r="P23" t="s">
        <v>13</v>
      </c>
    </row>
    <row r="24" spans="1:18" ht="15" x14ac:dyDescent="0.3">
      <c r="A24" s="15" t="s">
        <v>128</v>
      </c>
      <c r="B24" s="25" t="s">
        <v>10</v>
      </c>
      <c r="G24" s="1" t="s">
        <v>55</v>
      </c>
      <c r="H24">
        <f t="shared" si="0"/>
        <v>0</v>
      </c>
      <c r="O24" s="3" t="s">
        <v>14</v>
      </c>
      <c r="P24" t="s">
        <v>1</v>
      </c>
      <c r="R24" t="s">
        <v>27</v>
      </c>
    </row>
    <row r="25" spans="1:18" ht="30" x14ac:dyDescent="0.3">
      <c r="A25" s="15" t="s">
        <v>128</v>
      </c>
      <c r="B25" s="25" t="s">
        <v>129</v>
      </c>
      <c r="G25" s="1" t="s">
        <v>56</v>
      </c>
      <c r="H25">
        <f t="shared" si="0"/>
        <v>0</v>
      </c>
      <c r="O25" s="3" t="s">
        <v>14</v>
      </c>
      <c r="P25" t="s">
        <v>2</v>
      </c>
    </row>
    <row r="26" spans="1:18" ht="15" x14ac:dyDescent="0.3">
      <c r="A26" s="15" t="s">
        <v>128</v>
      </c>
      <c r="B26" s="25" t="s">
        <v>5</v>
      </c>
      <c r="G26" s="1" t="s">
        <v>36</v>
      </c>
      <c r="H26">
        <f t="shared" si="0"/>
        <v>4</v>
      </c>
      <c r="O26" s="3" t="s">
        <v>14</v>
      </c>
      <c r="P26" t="s">
        <v>10</v>
      </c>
    </row>
    <row r="27" spans="1:18" ht="15" x14ac:dyDescent="0.3">
      <c r="A27" s="15" t="s">
        <v>128</v>
      </c>
      <c r="B27" s="25" t="s">
        <v>6</v>
      </c>
      <c r="G27" s="1" t="s">
        <v>37</v>
      </c>
      <c r="H27">
        <f t="shared" si="0"/>
        <v>4</v>
      </c>
      <c r="O27" s="3" t="s">
        <v>14</v>
      </c>
      <c r="P27" s="10" t="s">
        <v>3</v>
      </c>
    </row>
    <row r="28" spans="1:18" ht="15" x14ac:dyDescent="0.3">
      <c r="A28" s="15" t="s">
        <v>128</v>
      </c>
      <c r="B28" s="25" t="s">
        <v>36</v>
      </c>
      <c r="G28" s="1" t="s">
        <v>48</v>
      </c>
      <c r="H28">
        <f t="shared" si="0"/>
        <v>0</v>
      </c>
      <c r="O28" s="3" t="s">
        <v>14</v>
      </c>
      <c r="P28" t="s">
        <v>32</v>
      </c>
    </row>
    <row r="29" spans="1:18" ht="15" x14ac:dyDescent="0.3">
      <c r="A29" s="15" t="s">
        <v>128</v>
      </c>
      <c r="B29" s="25" t="s">
        <v>37</v>
      </c>
      <c r="G29" s="13"/>
      <c r="O29" s="3" t="s">
        <v>14</v>
      </c>
      <c r="P29" s="10" t="s">
        <v>33</v>
      </c>
    </row>
    <row r="30" spans="1:18" ht="15" x14ac:dyDescent="0.3">
      <c r="A30" s="15" t="s">
        <v>128</v>
      </c>
      <c r="B30" s="25" t="s">
        <v>38</v>
      </c>
      <c r="G30" s="13"/>
      <c r="O30" s="3" t="s">
        <v>14</v>
      </c>
      <c r="P30" s="10" t="s">
        <v>34</v>
      </c>
    </row>
    <row r="31" spans="1:18" ht="30" x14ac:dyDescent="0.3">
      <c r="A31" s="15" t="s">
        <v>128</v>
      </c>
      <c r="B31" s="25" t="s">
        <v>132</v>
      </c>
      <c r="G31" s="13"/>
      <c r="O31" s="3"/>
      <c r="P31" s="10"/>
    </row>
    <row r="32" spans="1:18" ht="15" x14ac:dyDescent="0.3">
      <c r="A32" s="19" t="s">
        <v>57</v>
      </c>
      <c r="B32" t="s">
        <v>13</v>
      </c>
      <c r="G32" s="13"/>
      <c r="O32" s="6" t="s">
        <v>17</v>
      </c>
      <c r="P32" s="1" t="s">
        <v>1</v>
      </c>
    </row>
    <row r="33" spans="1:18" ht="15" x14ac:dyDescent="0.3">
      <c r="A33" s="19" t="s">
        <v>57</v>
      </c>
      <c r="B33" s="1" t="s">
        <v>1</v>
      </c>
      <c r="G33" s="13"/>
      <c r="O33" s="6" t="s">
        <v>17</v>
      </c>
      <c r="P33" s="1" t="s">
        <v>32</v>
      </c>
    </row>
    <row r="34" spans="1:18" ht="15" x14ac:dyDescent="0.3">
      <c r="A34" s="19" t="s">
        <v>57</v>
      </c>
      <c r="B34" s="1" t="s">
        <v>2</v>
      </c>
      <c r="C34" t="s">
        <v>80</v>
      </c>
      <c r="G34" s="13"/>
      <c r="O34" s="6" t="s">
        <v>17</v>
      </c>
      <c r="P34" s="1" t="s">
        <v>33</v>
      </c>
      <c r="R34" t="s">
        <v>26</v>
      </c>
    </row>
    <row r="35" spans="1:18" ht="15" x14ac:dyDescent="0.3">
      <c r="A35" s="19" t="s">
        <v>57</v>
      </c>
      <c r="B35" t="s">
        <v>10</v>
      </c>
      <c r="G35" s="13"/>
      <c r="O35" s="6" t="s">
        <v>17</v>
      </c>
      <c r="P35" s="1" t="s">
        <v>5</v>
      </c>
      <c r="Q35" t="s">
        <v>30</v>
      </c>
    </row>
    <row r="36" spans="1:18" ht="15" x14ac:dyDescent="0.3">
      <c r="A36" s="19" t="s">
        <v>57</v>
      </c>
      <c r="B36" s="1" t="s">
        <v>35</v>
      </c>
      <c r="G36" s="13"/>
      <c r="O36" s="6" t="s">
        <v>17</v>
      </c>
      <c r="P36" s="11" t="s">
        <v>6</v>
      </c>
      <c r="Q36" t="s">
        <v>22</v>
      </c>
    </row>
    <row r="37" spans="1:18" ht="15" x14ac:dyDescent="0.3">
      <c r="A37" s="19" t="s">
        <v>57</v>
      </c>
      <c r="B37" s="1" t="s">
        <v>32</v>
      </c>
      <c r="G37" s="14"/>
      <c r="O37" s="5" t="s">
        <v>42</v>
      </c>
      <c r="P37" s="1" t="s">
        <v>13</v>
      </c>
    </row>
    <row r="38" spans="1:18" ht="15" x14ac:dyDescent="0.3">
      <c r="A38" s="19" t="s">
        <v>57</v>
      </c>
      <c r="B38" s="1" t="s">
        <v>33</v>
      </c>
      <c r="G38" s="14"/>
      <c r="O38" s="5" t="s">
        <v>42</v>
      </c>
      <c r="P38" s="1" t="s">
        <v>1</v>
      </c>
    </row>
    <row r="39" spans="1:18" x14ac:dyDescent="0.3">
      <c r="A39" s="19" t="s">
        <v>57</v>
      </c>
      <c r="B39" s="1" t="s">
        <v>34</v>
      </c>
      <c r="O39" s="5" t="s">
        <v>42</v>
      </c>
      <c r="P39" s="1" t="s">
        <v>2</v>
      </c>
    </row>
    <row r="40" spans="1:18" x14ac:dyDescent="0.3">
      <c r="A40" s="19" t="s">
        <v>57</v>
      </c>
      <c r="B40" s="1" t="s">
        <v>6</v>
      </c>
      <c r="O40" s="5" t="s">
        <v>42</v>
      </c>
      <c r="P40" t="s">
        <v>10</v>
      </c>
    </row>
    <row r="41" spans="1:18" x14ac:dyDescent="0.3">
      <c r="A41" s="20" t="s">
        <v>58</v>
      </c>
      <c r="B41" t="s">
        <v>13</v>
      </c>
      <c r="O41" s="5" t="s">
        <v>42</v>
      </c>
      <c r="P41" s="1" t="s">
        <v>3</v>
      </c>
    </row>
    <row r="42" spans="1:18" x14ac:dyDescent="0.3">
      <c r="A42" s="20" t="s">
        <v>58</v>
      </c>
      <c r="B42" s="1" t="s">
        <v>1</v>
      </c>
      <c r="O42" s="5" t="s">
        <v>42</v>
      </c>
      <c r="P42" s="1" t="s">
        <v>46</v>
      </c>
    </row>
    <row r="43" spans="1:18" x14ac:dyDescent="0.3">
      <c r="A43" s="20" t="s">
        <v>58</v>
      </c>
      <c r="B43" s="1" t="s">
        <v>2</v>
      </c>
      <c r="C43" t="s">
        <v>80</v>
      </c>
      <c r="O43" s="5" t="s">
        <v>42</v>
      </c>
      <c r="P43" s="1" t="s">
        <v>32</v>
      </c>
    </row>
    <row r="44" spans="1:18" x14ac:dyDescent="0.3">
      <c r="A44" s="20" t="s">
        <v>58</v>
      </c>
      <c r="B44" t="s">
        <v>10</v>
      </c>
      <c r="O44" s="5" t="s">
        <v>42</v>
      </c>
      <c r="P44" s="1" t="s">
        <v>33</v>
      </c>
    </row>
    <row r="45" spans="1:18" x14ac:dyDescent="0.3">
      <c r="A45" s="20" t="s">
        <v>58</v>
      </c>
      <c r="B45" s="1" t="s">
        <v>3</v>
      </c>
      <c r="O45" s="5" t="s">
        <v>42</v>
      </c>
      <c r="P45" s="1" t="s">
        <v>34</v>
      </c>
    </row>
    <row r="46" spans="1:18" x14ac:dyDescent="0.3">
      <c r="A46" s="20" t="s">
        <v>58</v>
      </c>
      <c r="B46" s="1" t="s">
        <v>35</v>
      </c>
      <c r="O46" s="5" t="s">
        <v>42</v>
      </c>
      <c r="P46" s="1" t="s">
        <v>5</v>
      </c>
    </row>
    <row r="47" spans="1:18" x14ac:dyDescent="0.3">
      <c r="A47" s="20" t="s">
        <v>58</v>
      </c>
      <c r="B47" s="1" t="s">
        <v>32</v>
      </c>
      <c r="O47" s="5" t="s">
        <v>42</v>
      </c>
      <c r="P47" s="1" t="s">
        <v>6</v>
      </c>
    </row>
    <row r="48" spans="1:18" x14ac:dyDescent="0.3">
      <c r="A48" s="20" t="s">
        <v>58</v>
      </c>
      <c r="B48" s="1" t="s">
        <v>33</v>
      </c>
      <c r="O48" s="4" t="s">
        <v>15</v>
      </c>
      <c r="P48" s="1" t="s">
        <v>35</v>
      </c>
    </row>
    <row r="49" spans="1:16" x14ac:dyDescent="0.3">
      <c r="A49" s="20" t="s">
        <v>58</v>
      </c>
      <c r="B49" s="1" t="s">
        <v>34</v>
      </c>
      <c r="O49" s="4" t="s">
        <v>15</v>
      </c>
      <c r="P49" s="1" t="s">
        <v>32</v>
      </c>
    </row>
    <row r="50" spans="1:16" x14ac:dyDescent="0.3">
      <c r="A50" s="20" t="s">
        <v>58</v>
      </c>
      <c r="B50" s="1" t="s">
        <v>6</v>
      </c>
      <c r="O50" s="4" t="s">
        <v>15</v>
      </c>
      <c r="P50" s="1" t="s">
        <v>33</v>
      </c>
    </row>
    <row r="51" spans="1:16" x14ac:dyDescent="0.3">
      <c r="A51" s="20" t="s">
        <v>58</v>
      </c>
      <c r="B51" s="1" t="s">
        <v>38</v>
      </c>
      <c r="O51" s="4" t="s">
        <v>15</v>
      </c>
      <c r="P51" t="s">
        <v>10</v>
      </c>
    </row>
    <row r="52" spans="1:16" x14ac:dyDescent="0.3">
      <c r="A52" s="20" t="s">
        <v>58</v>
      </c>
      <c r="B52" s="1" t="s">
        <v>131</v>
      </c>
      <c r="O52" s="7" t="s">
        <v>16</v>
      </c>
      <c r="P52" s="10" t="s">
        <v>13</v>
      </c>
    </row>
    <row r="53" spans="1:16" x14ac:dyDescent="0.3">
      <c r="A53" s="20" t="s">
        <v>58</v>
      </c>
      <c r="B53" s="1" t="s">
        <v>134</v>
      </c>
      <c r="O53" s="7" t="s">
        <v>16</v>
      </c>
      <c r="P53" s="10" t="s">
        <v>1</v>
      </c>
    </row>
    <row r="54" spans="1:16" x14ac:dyDescent="0.3">
      <c r="A54" s="20" t="s">
        <v>58</v>
      </c>
      <c r="B54" s="1" t="s">
        <v>36</v>
      </c>
      <c r="O54" s="7" t="s">
        <v>16</v>
      </c>
      <c r="P54" s="1" t="s">
        <v>32</v>
      </c>
    </row>
    <row r="55" spans="1:16" x14ac:dyDescent="0.3">
      <c r="A55" s="20" t="s">
        <v>58</v>
      </c>
      <c r="B55" s="1" t="s">
        <v>37</v>
      </c>
      <c r="D55" t="s">
        <v>133</v>
      </c>
      <c r="O55" s="7" t="s">
        <v>16</v>
      </c>
      <c r="P55" s="1" t="s">
        <v>33</v>
      </c>
    </row>
    <row r="56" spans="1:16" x14ac:dyDescent="0.3">
      <c r="A56" s="21" t="s">
        <v>60</v>
      </c>
      <c r="B56" s="1" t="s">
        <v>1</v>
      </c>
      <c r="O56" s="7" t="s">
        <v>16</v>
      </c>
      <c r="P56" s="1" t="s">
        <v>34</v>
      </c>
    </row>
    <row r="57" spans="1:16" x14ac:dyDescent="0.3">
      <c r="A57" s="21" t="s">
        <v>60</v>
      </c>
      <c r="B57" s="1" t="s">
        <v>2</v>
      </c>
      <c r="O57" s="15" t="s">
        <v>43</v>
      </c>
      <c r="P57" s="1" t="s">
        <v>13</v>
      </c>
    </row>
    <row r="58" spans="1:16" x14ac:dyDescent="0.3">
      <c r="A58" s="21" t="s">
        <v>60</v>
      </c>
      <c r="B58" t="s">
        <v>10</v>
      </c>
      <c r="C58" t="s">
        <v>139</v>
      </c>
      <c r="O58" s="15" t="s">
        <v>43</v>
      </c>
      <c r="P58" s="1" t="s">
        <v>1</v>
      </c>
    </row>
    <row r="59" spans="1:16" x14ac:dyDescent="0.3">
      <c r="A59" s="21" t="s">
        <v>60</v>
      </c>
      <c r="B59" s="1" t="s">
        <v>3</v>
      </c>
      <c r="O59" s="15" t="s">
        <v>43</v>
      </c>
      <c r="P59" s="1" t="s">
        <v>2</v>
      </c>
    </row>
    <row r="60" spans="1:16" x14ac:dyDescent="0.3">
      <c r="A60" s="21" t="s">
        <v>60</v>
      </c>
      <c r="B60" s="1" t="s">
        <v>35</v>
      </c>
      <c r="O60" s="15" t="s">
        <v>43</v>
      </c>
      <c r="P60" t="s">
        <v>10</v>
      </c>
    </row>
    <row r="61" spans="1:16" x14ac:dyDescent="0.3">
      <c r="A61" s="21" t="s">
        <v>60</v>
      </c>
      <c r="B61" s="1" t="s">
        <v>32</v>
      </c>
      <c r="O61" s="15" t="s">
        <v>43</v>
      </c>
      <c r="P61" s="1" t="s">
        <v>35</v>
      </c>
    </row>
    <row r="62" spans="1:16" x14ac:dyDescent="0.3">
      <c r="A62" s="21" t="s">
        <v>60</v>
      </c>
      <c r="B62" s="1" t="s">
        <v>33</v>
      </c>
      <c r="O62" s="15" t="s">
        <v>43</v>
      </c>
      <c r="P62" s="1" t="s">
        <v>32</v>
      </c>
    </row>
    <row r="63" spans="1:16" x14ac:dyDescent="0.3">
      <c r="A63" s="21" t="s">
        <v>60</v>
      </c>
      <c r="B63" s="1" t="s">
        <v>34</v>
      </c>
      <c r="O63" s="15" t="s">
        <v>43</v>
      </c>
      <c r="P63" s="1" t="s">
        <v>33</v>
      </c>
    </row>
    <row r="64" spans="1:16" x14ac:dyDescent="0.3">
      <c r="A64" s="21" t="s">
        <v>60</v>
      </c>
      <c r="B64" s="1" t="s">
        <v>5</v>
      </c>
      <c r="O64" s="15" t="s">
        <v>43</v>
      </c>
      <c r="P64" s="1" t="s">
        <v>34</v>
      </c>
    </row>
    <row r="65" spans="1:16" x14ac:dyDescent="0.3">
      <c r="A65" s="21" t="s">
        <v>60</v>
      </c>
      <c r="B65" s="1" t="s">
        <v>6</v>
      </c>
      <c r="O65" s="15" t="s">
        <v>43</v>
      </c>
      <c r="P65" s="1" t="s">
        <v>5</v>
      </c>
    </row>
    <row r="66" spans="1:16" x14ac:dyDescent="0.3">
      <c r="A66" s="21" t="s">
        <v>60</v>
      </c>
      <c r="B66" s="1" t="s">
        <v>36</v>
      </c>
      <c r="O66" s="15" t="s">
        <v>43</v>
      </c>
      <c r="P66" s="1" t="s">
        <v>6</v>
      </c>
    </row>
    <row r="67" spans="1:16" x14ac:dyDescent="0.3">
      <c r="A67" s="21" t="s">
        <v>60</v>
      </c>
      <c r="B67" s="1" t="s">
        <v>37</v>
      </c>
      <c r="O67" s="15" t="s">
        <v>43</v>
      </c>
      <c r="P67" s="1" t="s">
        <v>36</v>
      </c>
    </row>
    <row r="68" spans="1:16" x14ac:dyDescent="0.3">
      <c r="A68" s="21" t="s">
        <v>135</v>
      </c>
      <c r="B68" t="s">
        <v>13</v>
      </c>
      <c r="O68" s="15" t="s">
        <v>43</v>
      </c>
      <c r="P68" s="1" t="s">
        <v>37</v>
      </c>
    </row>
    <row r="69" spans="1:16" x14ac:dyDescent="0.3">
      <c r="A69" s="21" t="s">
        <v>135</v>
      </c>
      <c r="B69" s="1" t="s">
        <v>1</v>
      </c>
      <c r="O69" s="15" t="s">
        <v>43</v>
      </c>
      <c r="P69" s="1" t="s">
        <v>44</v>
      </c>
    </row>
    <row r="70" spans="1:16" x14ac:dyDescent="0.3">
      <c r="A70" s="21" t="s">
        <v>135</v>
      </c>
      <c r="B70" s="1" t="s">
        <v>2</v>
      </c>
      <c r="C70" t="s">
        <v>140</v>
      </c>
      <c r="O70" s="15" t="s">
        <v>43</v>
      </c>
      <c r="P70" s="1" t="s">
        <v>45</v>
      </c>
    </row>
    <row r="71" spans="1:16" ht="28.8" x14ac:dyDescent="0.3">
      <c r="A71" s="21" t="s">
        <v>135</v>
      </c>
      <c r="B71" t="s">
        <v>10</v>
      </c>
      <c r="O71" s="3" t="s">
        <v>50</v>
      </c>
      <c r="P71" s="16" t="s">
        <v>13</v>
      </c>
    </row>
    <row r="72" spans="1:16" ht="57.6" x14ac:dyDescent="0.3">
      <c r="A72" s="21" t="s">
        <v>135</v>
      </c>
      <c r="B72" s="1" t="s">
        <v>3</v>
      </c>
      <c r="O72" s="3" t="s">
        <v>50</v>
      </c>
      <c r="P72" s="17" t="s">
        <v>1</v>
      </c>
    </row>
    <row r="73" spans="1:16" ht="28.8" x14ac:dyDescent="0.3">
      <c r="A73" s="21" t="s">
        <v>135</v>
      </c>
      <c r="B73" s="1" t="s">
        <v>35</v>
      </c>
      <c r="O73" s="3" t="s">
        <v>50</v>
      </c>
      <c r="P73" s="17" t="s">
        <v>2</v>
      </c>
    </row>
    <row r="74" spans="1:16" ht="43.2" x14ac:dyDescent="0.3">
      <c r="A74" s="21" t="s">
        <v>135</v>
      </c>
      <c r="B74" s="1" t="s">
        <v>32</v>
      </c>
      <c r="O74" s="3" t="s">
        <v>50</v>
      </c>
      <c r="P74" s="16" t="s">
        <v>49</v>
      </c>
    </row>
    <row r="75" spans="1:16" ht="28.8" x14ac:dyDescent="0.3">
      <c r="A75" s="21" t="s">
        <v>135</v>
      </c>
      <c r="B75" s="1" t="s">
        <v>38</v>
      </c>
      <c r="O75" s="3" t="s">
        <v>50</v>
      </c>
      <c r="P75" s="17" t="s">
        <v>3</v>
      </c>
    </row>
    <row r="76" spans="1:16" ht="28.8" x14ac:dyDescent="0.3">
      <c r="A76" s="21" t="s">
        <v>135</v>
      </c>
      <c r="B76" s="1" t="s">
        <v>36</v>
      </c>
      <c r="O76" s="3" t="s">
        <v>50</v>
      </c>
      <c r="P76" s="17" t="s">
        <v>35</v>
      </c>
    </row>
    <row r="77" spans="1:16" ht="28.8" x14ac:dyDescent="0.3">
      <c r="A77" s="21" t="s">
        <v>135</v>
      </c>
      <c r="B77" s="1" t="s">
        <v>37</v>
      </c>
      <c r="O77" s="3" t="s">
        <v>50</v>
      </c>
      <c r="P77" s="17" t="s">
        <v>32</v>
      </c>
    </row>
    <row r="78" spans="1:16" ht="28.8" x14ac:dyDescent="0.3">
      <c r="A78" t="s">
        <v>152</v>
      </c>
      <c r="B78" s="1" t="s">
        <v>2</v>
      </c>
      <c r="O78" s="3" t="s">
        <v>50</v>
      </c>
      <c r="P78" s="17" t="s">
        <v>33</v>
      </c>
    </row>
    <row r="79" spans="1:16" ht="28.8" x14ac:dyDescent="0.3">
      <c r="A79" t="s">
        <v>152</v>
      </c>
      <c r="B79" t="s">
        <v>10</v>
      </c>
      <c r="O79" s="3" t="s">
        <v>50</v>
      </c>
      <c r="P79" s="17" t="s">
        <v>34</v>
      </c>
    </row>
    <row r="80" spans="1:16" ht="57.6" x14ac:dyDescent="0.3">
      <c r="A80" t="s">
        <v>152</v>
      </c>
      <c r="B80" s="1" t="s">
        <v>3</v>
      </c>
      <c r="O80" s="3" t="s">
        <v>50</v>
      </c>
      <c r="P80" s="17" t="s">
        <v>5</v>
      </c>
    </row>
    <row r="81" spans="1:16" ht="28.8" x14ac:dyDescent="0.3">
      <c r="A81" t="s">
        <v>152</v>
      </c>
      <c r="B81" s="1" t="s">
        <v>35</v>
      </c>
      <c r="O81" s="3" t="s">
        <v>50</v>
      </c>
      <c r="P81" s="17" t="s">
        <v>6</v>
      </c>
    </row>
    <row r="82" spans="1:16" ht="43.2" x14ac:dyDescent="0.3">
      <c r="A82" t="s">
        <v>154</v>
      </c>
      <c r="B82" t="s">
        <v>13</v>
      </c>
      <c r="O82" s="3" t="s">
        <v>50</v>
      </c>
      <c r="P82" s="17" t="s">
        <v>7</v>
      </c>
    </row>
    <row r="83" spans="1:16" ht="43.2" x14ac:dyDescent="0.3">
      <c r="A83" t="s">
        <v>154</v>
      </c>
      <c r="B83" s="1" t="s">
        <v>1</v>
      </c>
      <c r="O83" s="3" t="s">
        <v>50</v>
      </c>
      <c r="P83" s="17" t="s">
        <v>8</v>
      </c>
    </row>
    <row r="84" spans="1:16" x14ac:dyDescent="0.3">
      <c r="A84" t="s">
        <v>154</v>
      </c>
      <c r="B84" s="1" t="s">
        <v>2</v>
      </c>
      <c r="O84" s="3" t="s">
        <v>50</v>
      </c>
      <c r="P84" s="17" t="s">
        <v>40</v>
      </c>
    </row>
    <row r="85" spans="1:16" ht="28.8" x14ac:dyDescent="0.3">
      <c r="A85" t="s">
        <v>156</v>
      </c>
      <c r="B85" t="s">
        <v>13</v>
      </c>
      <c r="O85" s="3" t="s">
        <v>50</v>
      </c>
      <c r="P85" s="17" t="s">
        <v>38</v>
      </c>
    </row>
    <row r="86" spans="1:16" ht="28.8" x14ac:dyDescent="0.3">
      <c r="A86" t="s">
        <v>156</v>
      </c>
      <c r="B86" s="1" t="s">
        <v>1</v>
      </c>
      <c r="O86" s="3" t="s">
        <v>50</v>
      </c>
      <c r="P86" s="17" t="s">
        <v>39</v>
      </c>
    </row>
    <row r="87" spans="1:16" ht="28.8" x14ac:dyDescent="0.3">
      <c r="A87" t="s">
        <v>156</v>
      </c>
      <c r="B87" s="1" t="s">
        <v>2</v>
      </c>
      <c r="O87" s="3" t="s">
        <v>50</v>
      </c>
      <c r="P87" s="17" t="s">
        <v>47</v>
      </c>
    </row>
    <row r="88" spans="1:16" ht="28.8" x14ac:dyDescent="0.3">
      <c r="A88" t="s">
        <v>156</v>
      </c>
      <c r="B88" t="s">
        <v>10</v>
      </c>
      <c r="O88" s="3" t="s">
        <v>50</v>
      </c>
      <c r="P88" s="17" t="s">
        <v>36</v>
      </c>
    </row>
    <row r="89" spans="1:16" ht="28.8" x14ac:dyDescent="0.3">
      <c r="A89" t="s">
        <v>156</v>
      </c>
      <c r="B89" s="1" t="s">
        <v>3</v>
      </c>
      <c r="O89" s="3" t="s">
        <v>50</v>
      </c>
      <c r="P89" s="17" t="s">
        <v>37</v>
      </c>
    </row>
    <row r="90" spans="1:16" ht="43.2" x14ac:dyDescent="0.3">
      <c r="A90" t="s">
        <v>156</v>
      </c>
      <c r="B90" s="1" t="s">
        <v>35</v>
      </c>
      <c r="O90" s="3" t="s">
        <v>50</v>
      </c>
      <c r="P90" s="17" t="s">
        <v>48</v>
      </c>
    </row>
    <row r="91" spans="1:16" x14ac:dyDescent="0.3">
      <c r="A91" t="s">
        <v>156</v>
      </c>
      <c r="B91" s="1" t="s">
        <v>32</v>
      </c>
      <c r="O91" s="18" t="s">
        <v>52</v>
      </c>
      <c r="P91" t="s">
        <v>13</v>
      </c>
    </row>
    <row r="92" spans="1:16" x14ac:dyDescent="0.3">
      <c r="A92" t="s">
        <v>156</v>
      </c>
      <c r="B92" s="1" t="s">
        <v>33</v>
      </c>
      <c r="O92" s="18" t="s">
        <v>52</v>
      </c>
      <c r="P92" s="1" t="s">
        <v>1</v>
      </c>
    </row>
    <row r="93" spans="1:16" x14ac:dyDescent="0.3">
      <c r="A93" t="s">
        <v>156</v>
      </c>
      <c r="B93" s="1" t="s">
        <v>34</v>
      </c>
      <c r="O93" s="18" t="s">
        <v>52</v>
      </c>
      <c r="P93" s="1" t="s">
        <v>2</v>
      </c>
    </row>
    <row r="94" spans="1:16" x14ac:dyDescent="0.3">
      <c r="A94" t="s">
        <v>156</v>
      </c>
      <c r="B94" s="1" t="s">
        <v>5</v>
      </c>
      <c r="O94" s="18" t="s">
        <v>52</v>
      </c>
      <c r="P94" t="s">
        <v>10</v>
      </c>
    </row>
    <row r="95" spans="1:16" x14ac:dyDescent="0.3">
      <c r="A95" t="s">
        <v>156</v>
      </c>
      <c r="B95" s="1" t="s">
        <v>6</v>
      </c>
      <c r="O95" s="18" t="s">
        <v>52</v>
      </c>
      <c r="P95" s="1" t="s">
        <v>3</v>
      </c>
    </row>
    <row r="96" spans="1:16" x14ac:dyDescent="0.3">
      <c r="A96" t="s">
        <v>156</v>
      </c>
      <c r="B96" s="1" t="s">
        <v>7</v>
      </c>
      <c r="O96" s="18" t="s">
        <v>52</v>
      </c>
      <c r="P96" s="1" t="s">
        <v>35</v>
      </c>
    </row>
    <row r="97" spans="1:16" x14ac:dyDescent="0.3">
      <c r="A97" t="s">
        <v>156</v>
      </c>
      <c r="B97" s="1" t="s">
        <v>8</v>
      </c>
      <c r="O97" s="18" t="s">
        <v>52</v>
      </c>
      <c r="P97" s="1" t="s">
        <v>32</v>
      </c>
    </row>
    <row r="98" spans="1:16" x14ac:dyDescent="0.3">
      <c r="A98" t="s">
        <v>156</v>
      </c>
      <c r="B98" s="1" t="s">
        <v>45</v>
      </c>
      <c r="O98" s="18" t="s">
        <v>52</v>
      </c>
      <c r="P98" s="1" t="s">
        <v>33</v>
      </c>
    </row>
    <row r="99" spans="1:16" x14ac:dyDescent="0.3">
      <c r="A99" t="s">
        <v>156</v>
      </c>
      <c r="B99" s="1" t="s">
        <v>44</v>
      </c>
      <c r="O99" s="18" t="s">
        <v>52</v>
      </c>
      <c r="P99" s="1" t="s">
        <v>34</v>
      </c>
    </row>
    <row r="100" spans="1:16" x14ac:dyDescent="0.3">
      <c r="A100" t="s">
        <v>156</v>
      </c>
      <c r="B100" s="1" t="s">
        <v>40</v>
      </c>
      <c r="O100" s="18" t="s">
        <v>52</v>
      </c>
      <c r="P100" s="1" t="s">
        <v>5</v>
      </c>
    </row>
    <row r="101" spans="1:16" x14ac:dyDescent="0.3">
      <c r="A101" t="s">
        <v>156</v>
      </c>
      <c r="B101" s="1" t="s">
        <v>38</v>
      </c>
      <c r="O101" s="18" t="s">
        <v>52</v>
      </c>
      <c r="P101" s="1" t="s">
        <v>6</v>
      </c>
    </row>
    <row r="102" spans="1:16" x14ac:dyDescent="0.3">
      <c r="A102" t="s">
        <v>156</v>
      </c>
      <c r="B102" s="1" t="s">
        <v>39</v>
      </c>
      <c r="O102" s="18" t="s">
        <v>52</v>
      </c>
      <c r="P102" s="1" t="s">
        <v>53</v>
      </c>
    </row>
    <row r="103" spans="1:16" x14ac:dyDescent="0.3">
      <c r="O103" s="18" t="s">
        <v>52</v>
      </c>
      <c r="P103" s="1" t="s">
        <v>54</v>
      </c>
    </row>
    <row r="104" spans="1:16" x14ac:dyDescent="0.3">
      <c r="O104" s="18" t="s">
        <v>52</v>
      </c>
      <c r="P104" s="1" t="s">
        <v>48</v>
      </c>
    </row>
  </sheetData>
  <conditionalFormatting sqref="A1:A77 A82:A1048576">
    <cfRule type="containsText" dxfId="3" priority="6" operator="containsText" text="Ope">
      <formula>NOT(ISERROR(SEARCH("Ope",A1)))</formula>
    </cfRule>
  </conditionalFormatting>
  <conditionalFormatting sqref="H3:H2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8">
    <cfRule type="containsText" dxfId="2" priority="2" operator="containsText" text="Ope">
      <formula>NOT(ISERROR(SEARCH("Ope",L2)))</formula>
    </cfRule>
  </conditionalFormatting>
  <conditionalFormatting sqref="O20:O21">
    <cfRule type="containsText" dxfId="1" priority="1" operator="containsText" text="Ope">
      <formula>NOT(ISERROR(SEARCH("Ope",O20)))</formula>
    </cfRule>
  </conditionalFormatting>
  <hyperlinks>
    <hyperlink ref="M9" r:id="rId1" xr:uid="{17AE324A-B543-6B45-90D1-850B11AF6236}"/>
    <hyperlink ref="M11" r:id="rId2" xr:uid="{B5744C90-7AE1-478E-A5E1-8509859E9F26}"/>
  </hyperlinks>
  <pageMargins left="0.7" right="0.7" top="0.75" bottom="0.75" header="0.3" footer="0.3"/>
  <pageSetup orientation="portrait" horizontalDpi="4294967295" verticalDpi="4294967295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BCF8-76B0-42A7-8A78-E3CBB5266091}">
  <dimension ref="A1:B10"/>
  <sheetViews>
    <sheetView tabSelected="1" workbookViewId="0">
      <selection activeCell="G18" sqref="G18"/>
    </sheetView>
  </sheetViews>
  <sheetFormatPr defaultColWidth="8.77734375" defaultRowHeight="14.4" x14ac:dyDescent="0.3"/>
  <sheetData>
    <row r="1" spans="1:2" x14ac:dyDescent="0.3">
      <c r="A1" s="8" t="s">
        <v>23</v>
      </c>
      <c r="B1" s="26" t="s">
        <v>164</v>
      </c>
    </row>
    <row r="2" spans="1:2" x14ac:dyDescent="0.3">
      <c r="A2" s="2" t="s">
        <v>0</v>
      </c>
      <c r="B2" s="26" t="s">
        <v>163</v>
      </c>
    </row>
    <row r="3" spans="1:2" x14ac:dyDescent="0.3">
      <c r="A3" s="15" t="s">
        <v>128</v>
      </c>
      <c r="B3" s="26" t="s">
        <v>162</v>
      </c>
    </row>
    <row r="4" spans="1:2" x14ac:dyDescent="0.3">
      <c r="A4" s="19" t="s">
        <v>57</v>
      </c>
      <c r="B4" s="9" t="s">
        <v>161</v>
      </c>
    </row>
    <row r="5" spans="1:2" x14ac:dyDescent="0.3">
      <c r="A5" s="20" t="s">
        <v>58</v>
      </c>
      <c r="B5" s="9" t="s">
        <v>160</v>
      </c>
    </row>
    <row r="6" spans="1:2" x14ac:dyDescent="0.3">
      <c r="A6" s="21" t="s">
        <v>60</v>
      </c>
      <c r="B6" s="26" t="s">
        <v>159</v>
      </c>
    </row>
    <row r="7" spans="1:2" x14ac:dyDescent="0.3">
      <c r="A7" s="21" t="s">
        <v>135</v>
      </c>
      <c r="B7" s="9" t="s">
        <v>158</v>
      </c>
    </row>
    <row r="8" spans="1:2" x14ac:dyDescent="0.3">
      <c r="A8" t="s">
        <v>152</v>
      </c>
      <c r="B8" s="9" t="s">
        <v>153</v>
      </c>
    </row>
    <row r="9" spans="1:2" x14ac:dyDescent="0.3">
      <c r="A9" t="s">
        <v>154</v>
      </c>
      <c r="B9" t="s">
        <v>155</v>
      </c>
    </row>
    <row r="10" spans="1:2" x14ac:dyDescent="0.3">
      <c r="A10" t="s">
        <v>156</v>
      </c>
      <c r="B10" s="9" t="s">
        <v>157</v>
      </c>
    </row>
  </sheetData>
  <conditionalFormatting sqref="A1:A7">
    <cfRule type="containsText" dxfId="0" priority="1" operator="containsText" text="Ope">
      <formula>NOT(ISERROR(SEARCH("Ope",A1)))</formula>
    </cfRule>
  </conditionalFormatting>
  <hyperlinks>
    <hyperlink ref="B1" r:id="rId1" xr:uid="{5D8BDDFE-F45F-4E67-99AF-089798424AB1}"/>
    <hyperlink ref="B2" r:id="rId2" xr:uid="{07EE2DE3-D4A2-4B53-8721-F954E9306523}"/>
    <hyperlink ref="B3" r:id="rId3" xr:uid="{3E95172F-5BD3-4D00-A545-2D90A1615F1C}"/>
    <hyperlink ref="B4" r:id="rId4" xr:uid="{6BBEB11F-2FF2-4715-8071-483E9701A791}"/>
    <hyperlink ref="B5" r:id="rId5" xr:uid="{B3FC695A-4FF4-43B0-8B64-2C93D1EB39E1}"/>
    <hyperlink ref="B6" r:id="rId6" xr:uid="{4ADE3912-A136-462D-8106-A4349C690629}"/>
    <hyperlink ref="B7" r:id="rId7" xr:uid="{496AD418-B268-4ABE-B051-A37147045762}"/>
    <hyperlink ref="B8" r:id="rId8" xr:uid="{6D22C790-75DB-4394-9148-B1A4A5A9AA7E}"/>
    <hyperlink ref="B10" r:id="rId9" xr:uid="{D93B0BDA-8728-4958-9BC8-58155331EC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E93F-726C-425A-B334-770F46D30164}">
  <dimension ref="A1:L28"/>
  <sheetViews>
    <sheetView workbookViewId="0">
      <selection activeCell="F29" sqref="F29"/>
    </sheetView>
  </sheetViews>
  <sheetFormatPr defaultColWidth="8.77734375" defaultRowHeight="14.4" x14ac:dyDescent="0.3"/>
  <cols>
    <col min="1" max="1" width="10.44140625" bestFit="1" customWidth="1"/>
    <col min="2" max="2" width="18" bestFit="1" customWidth="1"/>
    <col min="3" max="3" width="11.44140625" bestFit="1" customWidth="1"/>
    <col min="4" max="4" width="13.44140625" customWidth="1"/>
    <col min="5" max="5" width="14.77734375" customWidth="1"/>
    <col min="6" max="6" width="13.77734375" customWidth="1"/>
    <col min="7" max="8" width="8.77734375" customWidth="1"/>
    <col min="9" max="9" width="10.44140625" bestFit="1" customWidth="1"/>
    <col min="11" max="11" width="9.77734375" customWidth="1"/>
  </cols>
  <sheetData>
    <row r="1" spans="1:12" x14ac:dyDescent="0.3">
      <c r="A1" s="22">
        <v>45617</v>
      </c>
    </row>
    <row r="3" spans="1:12" ht="15.6" x14ac:dyDescent="0.3">
      <c r="B3" s="23" t="s">
        <v>62</v>
      </c>
      <c r="C3" s="23" t="s">
        <v>51</v>
      </c>
      <c r="D3" s="23" t="s">
        <v>63</v>
      </c>
      <c r="E3" s="23" t="s">
        <v>75</v>
      </c>
      <c r="F3" s="23" t="s">
        <v>76</v>
      </c>
      <c r="G3" s="23" t="s">
        <v>68</v>
      </c>
      <c r="H3" s="23" t="s">
        <v>67</v>
      </c>
      <c r="I3" s="23" t="s">
        <v>103</v>
      </c>
      <c r="J3" s="23" t="s">
        <v>72</v>
      </c>
      <c r="K3" s="23" t="s">
        <v>79</v>
      </c>
      <c r="L3" s="23" t="s">
        <v>69</v>
      </c>
    </row>
    <row r="4" spans="1:12" x14ac:dyDescent="0.3">
      <c r="B4" t="s">
        <v>84</v>
      </c>
      <c r="C4" t="s">
        <v>112</v>
      </c>
      <c r="D4" t="s">
        <v>85</v>
      </c>
      <c r="F4">
        <v>2</v>
      </c>
      <c r="H4" t="s">
        <v>116</v>
      </c>
      <c r="I4" s="22">
        <v>45235</v>
      </c>
      <c r="J4" t="s">
        <v>73</v>
      </c>
      <c r="K4" s="24">
        <v>45505</v>
      </c>
      <c r="L4" t="s">
        <v>102</v>
      </c>
    </row>
    <row r="5" spans="1:12" x14ac:dyDescent="0.3">
      <c r="B5" t="s">
        <v>97</v>
      </c>
      <c r="C5" t="s">
        <v>98</v>
      </c>
      <c r="D5" t="s">
        <v>99</v>
      </c>
      <c r="H5" t="s">
        <v>117</v>
      </c>
      <c r="J5" t="s">
        <v>73</v>
      </c>
      <c r="K5" s="24">
        <v>44774</v>
      </c>
    </row>
    <row r="6" spans="1:12" x14ac:dyDescent="0.3">
      <c r="B6" t="s">
        <v>64</v>
      </c>
      <c r="C6" t="s">
        <v>65</v>
      </c>
      <c r="D6" t="s">
        <v>66</v>
      </c>
      <c r="F6">
        <v>0.5</v>
      </c>
      <c r="H6" t="s">
        <v>116</v>
      </c>
      <c r="I6" s="22">
        <v>45602</v>
      </c>
      <c r="J6" t="s">
        <v>73</v>
      </c>
    </row>
    <row r="7" spans="1:12" x14ac:dyDescent="0.3">
      <c r="B7" t="s">
        <v>87</v>
      </c>
      <c r="F7">
        <v>2</v>
      </c>
      <c r="H7" t="s">
        <v>118</v>
      </c>
      <c r="I7" s="22">
        <v>44874</v>
      </c>
      <c r="J7" t="s">
        <v>73</v>
      </c>
      <c r="K7" s="24">
        <v>45139</v>
      </c>
    </row>
    <row r="8" spans="1:12" x14ac:dyDescent="0.3">
      <c r="B8" t="s">
        <v>88</v>
      </c>
      <c r="C8" t="s">
        <v>122</v>
      </c>
      <c r="D8" t="s">
        <v>80</v>
      </c>
      <c r="F8">
        <v>2</v>
      </c>
      <c r="H8" t="s">
        <v>116</v>
      </c>
      <c r="I8" s="22">
        <v>44824</v>
      </c>
      <c r="J8" t="s">
        <v>73</v>
      </c>
      <c r="K8" s="24">
        <v>45108</v>
      </c>
    </row>
    <row r="9" spans="1:12" x14ac:dyDescent="0.3">
      <c r="B9" t="s">
        <v>89</v>
      </c>
      <c r="C9" t="s">
        <v>109</v>
      </c>
      <c r="D9" t="s">
        <v>80</v>
      </c>
      <c r="F9">
        <v>1</v>
      </c>
      <c r="H9" t="s">
        <v>116</v>
      </c>
      <c r="I9" s="22">
        <v>44949</v>
      </c>
      <c r="J9" t="s">
        <v>73</v>
      </c>
    </row>
    <row r="10" spans="1:12" x14ac:dyDescent="0.3">
      <c r="B10" t="s">
        <v>104</v>
      </c>
      <c r="D10" t="s">
        <v>86</v>
      </c>
      <c r="F10">
        <v>1</v>
      </c>
      <c r="H10" t="s">
        <v>117</v>
      </c>
      <c r="J10" t="s">
        <v>73</v>
      </c>
    </row>
    <row r="11" spans="1:12" x14ac:dyDescent="0.3">
      <c r="B11" t="s">
        <v>70</v>
      </c>
      <c r="C11" t="s">
        <v>111</v>
      </c>
      <c r="D11" t="s">
        <v>71</v>
      </c>
      <c r="F11">
        <v>3.5</v>
      </c>
      <c r="H11" t="s">
        <v>115</v>
      </c>
      <c r="I11" t="s">
        <v>108</v>
      </c>
      <c r="J11" t="s">
        <v>114</v>
      </c>
    </row>
    <row r="12" spans="1:12" x14ac:dyDescent="0.3">
      <c r="B12" t="s">
        <v>90</v>
      </c>
      <c r="D12" t="s">
        <v>91</v>
      </c>
      <c r="F12">
        <v>4.5</v>
      </c>
      <c r="H12" t="s">
        <v>115</v>
      </c>
      <c r="I12" s="22">
        <v>44481</v>
      </c>
      <c r="J12" t="s">
        <v>73</v>
      </c>
      <c r="K12" s="24">
        <v>45261</v>
      </c>
    </row>
    <row r="13" spans="1:12" x14ac:dyDescent="0.3">
      <c r="B13" t="s">
        <v>92</v>
      </c>
      <c r="C13" t="s">
        <v>93</v>
      </c>
      <c r="F13">
        <v>3</v>
      </c>
      <c r="H13" t="s">
        <v>115</v>
      </c>
      <c r="I13" s="22">
        <v>44961</v>
      </c>
      <c r="J13" t="s">
        <v>73</v>
      </c>
    </row>
    <row r="14" spans="1:12" x14ac:dyDescent="0.3">
      <c r="B14" t="s">
        <v>83</v>
      </c>
      <c r="C14" t="s">
        <v>110</v>
      </c>
      <c r="D14" t="s">
        <v>82</v>
      </c>
      <c r="H14" t="s">
        <v>73</v>
      </c>
      <c r="J14" t="s">
        <v>73</v>
      </c>
    </row>
    <row r="15" spans="1:12" x14ac:dyDescent="0.3">
      <c r="B15" t="s">
        <v>74</v>
      </c>
      <c r="F15">
        <v>6</v>
      </c>
      <c r="H15" t="s">
        <v>119</v>
      </c>
      <c r="J15" t="s">
        <v>73</v>
      </c>
      <c r="L15" t="s">
        <v>123</v>
      </c>
    </row>
    <row r="16" spans="1:12" x14ac:dyDescent="0.3">
      <c r="B16" t="s">
        <v>105</v>
      </c>
      <c r="C16" t="s">
        <v>106</v>
      </c>
      <c r="F16">
        <v>4</v>
      </c>
      <c r="H16" t="s">
        <v>120</v>
      </c>
      <c r="J16" t="s">
        <v>73</v>
      </c>
      <c r="L16" t="s">
        <v>124</v>
      </c>
    </row>
    <row r="17" spans="2:12" x14ac:dyDescent="0.3">
      <c r="B17" t="s">
        <v>94</v>
      </c>
      <c r="F17">
        <v>2</v>
      </c>
      <c r="H17" t="s">
        <v>121</v>
      </c>
      <c r="J17" t="s">
        <v>73</v>
      </c>
      <c r="L17" t="s">
        <v>125</v>
      </c>
    </row>
    <row r="18" spans="2:12" x14ac:dyDescent="0.3">
      <c r="B18" t="s">
        <v>78</v>
      </c>
      <c r="C18" t="s">
        <v>109</v>
      </c>
      <c r="D18" t="s">
        <v>80</v>
      </c>
      <c r="F18">
        <v>6</v>
      </c>
      <c r="H18" t="s">
        <v>115</v>
      </c>
      <c r="J18" s="24">
        <v>45474</v>
      </c>
      <c r="K18" t="s">
        <v>113</v>
      </c>
      <c r="L18" t="s">
        <v>123</v>
      </c>
    </row>
    <row r="19" spans="2:12" x14ac:dyDescent="0.3">
      <c r="B19" t="s">
        <v>95</v>
      </c>
      <c r="C19" t="s">
        <v>107</v>
      </c>
      <c r="F19">
        <v>1</v>
      </c>
      <c r="H19" t="s">
        <v>116</v>
      </c>
      <c r="I19" s="22">
        <v>45502</v>
      </c>
      <c r="J19" t="s">
        <v>73</v>
      </c>
    </row>
    <row r="20" spans="2:12" x14ac:dyDescent="0.3">
      <c r="B20" t="s">
        <v>81</v>
      </c>
      <c r="C20" t="s">
        <v>109</v>
      </c>
      <c r="D20" t="s">
        <v>80</v>
      </c>
      <c r="F20">
        <v>2</v>
      </c>
      <c r="H20" t="s">
        <v>117</v>
      </c>
      <c r="J20" t="s">
        <v>73</v>
      </c>
      <c r="L20" t="s">
        <v>102</v>
      </c>
    </row>
    <row r="21" spans="2:12" x14ac:dyDescent="0.3">
      <c r="B21" t="s">
        <v>100</v>
      </c>
      <c r="F21">
        <v>1</v>
      </c>
      <c r="H21" t="s">
        <v>116</v>
      </c>
      <c r="I21" s="22">
        <v>45525</v>
      </c>
      <c r="J21" t="s">
        <v>73</v>
      </c>
    </row>
    <row r="22" spans="2:12" x14ac:dyDescent="0.3">
      <c r="B22" t="s">
        <v>101</v>
      </c>
      <c r="C22" t="s">
        <v>109</v>
      </c>
      <c r="D22" t="s">
        <v>80</v>
      </c>
      <c r="F22">
        <v>1</v>
      </c>
      <c r="H22" t="s">
        <v>116</v>
      </c>
      <c r="I22" s="22">
        <v>45525</v>
      </c>
      <c r="J22" t="s">
        <v>73</v>
      </c>
    </row>
    <row r="23" spans="2:12" x14ac:dyDescent="0.3">
      <c r="B23" t="s">
        <v>96</v>
      </c>
      <c r="C23" t="s">
        <v>109</v>
      </c>
      <c r="F23">
        <v>4</v>
      </c>
      <c r="H23" t="s">
        <v>116</v>
      </c>
      <c r="I23" s="22">
        <v>44600</v>
      </c>
      <c r="J23" t="s">
        <v>73</v>
      </c>
      <c r="L23" t="s">
        <v>127</v>
      </c>
    </row>
    <row r="24" spans="2:12" x14ac:dyDescent="0.3">
      <c r="B24" t="s">
        <v>77</v>
      </c>
      <c r="C24" t="s">
        <v>109</v>
      </c>
      <c r="D24" t="s">
        <v>80</v>
      </c>
      <c r="F24">
        <v>1</v>
      </c>
      <c r="H24" t="s">
        <v>116</v>
      </c>
      <c r="I24" s="22">
        <v>45525</v>
      </c>
      <c r="J24" t="s">
        <v>73</v>
      </c>
    </row>
    <row r="25" spans="2:12" x14ac:dyDescent="0.3">
      <c r="B25" t="s">
        <v>126</v>
      </c>
      <c r="F25">
        <v>0.5</v>
      </c>
      <c r="H25" t="s">
        <v>116</v>
      </c>
      <c r="I25" s="22">
        <v>45220</v>
      </c>
      <c r="J25" t="s">
        <v>73</v>
      </c>
    </row>
    <row r="28" spans="2:12" x14ac:dyDescent="0.3">
      <c r="F28">
        <f>SUM(F4:F25)</f>
        <v>48</v>
      </c>
    </row>
  </sheetData>
  <sortState xmlns:xlrd2="http://schemas.microsoft.com/office/spreadsheetml/2017/richdata2" ref="B4:L24">
    <sortCondition ref="B4:B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Contacts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Lexy Ackerman</dc:creator>
  <cp:lastModifiedBy>Lexy Ackerman</cp:lastModifiedBy>
  <dcterms:created xsi:type="dcterms:W3CDTF">2022-09-20T14:49:41Z</dcterms:created>
  <dcterms:modified xsi:type="dcterms:W3CDTF">2025-11-02T23:22:09Z</dcterms:modified>
</cp:coreProperties>
</file>